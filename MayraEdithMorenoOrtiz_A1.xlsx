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5d0ea753259ffa/Documentos/INGENIERIA COPPEL/periodo4/Ingeniería de software II/"/>
    </mc:Choice>
  </mc:AlternateContent>
  <xr:revisionPtr revIDLastSave="205" documentId="8_{4B315049-C6BB-4EE4-BC91-AE49F0AA58ED}" xr6:coauthVersionLast="47" xr6:coauthVersionMax="47" xr10:uidLastSave="{372B441F-5B59-4E23-83C1-F53240615D8C}"/>
  <bookViews>
    <workbookView xWindow="14295" yWindow="0" windowWidth="14610" windowHeight="15585" xr2:uid="{7ED1F59B-B9D9-47D4-8D95-013DF280CD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9" i="1" l="1"/>
  <c r="D47" i="1"/>
  <c r="E47" i="1"/>
  <c r="F47" i="1"/>
  <c r="C47" i="1"/>
  <c r="I17" i="1"/>
  <c r="I16" i="1"/>
  <c r="I15" i="1"/>
  <c r="I14" i="1"/>
  <c r="I13" i="1"/>
  <c r="I12" i="1"/>
  <c r="I11" i="1"/>
  <c r="I10" i="1"/>
  <c r="I9" i="1"/>
  <c r="I8" i="1"/>
  <c r="I7" i="1"/>
  <c r="D48" i="1" l="1"/>
  <c r="E48" i="1"/>
  <c r="F48" i="1"/>
  <c r="C48" i="1"/>
  <c r="I18" i="1"/>
  <c r="B26" i="1" s="1"/>
  <c r="C26" i="1" s="1"/>
  <c r="E54" i="1" l="1"/>
  <c r="E55" i="1"/>
  <c r="E56" i="1"/>
  <c r="E53" i="1"/>
  <c r="F53" i="1"/>
  <c r="F54" i="1"/>
  <c r="F55" i="1"/>
  <c r="F56" i="1"/>
  <c r="G53" i="1"/>
  <c r="G54" i="1"/>
  <c r="G55" i="1"/>
  <c r="G56" i="1"/>
  <c r="D53" i="1"/>
  <c r="D54" i="1"/>
  <c r="D55" i="1"/>
  <c r="D56" i="1"/>
  <c r="F32" i="1"/>
  <c r="E26" i="1"/>
  <c r="E32" i="1"/>
  <c r="D32" i="1"/>
  <c r="C32" i="1"/>
  <c r="D26" i="1"/>
  <c r="E57" i="1" l="1"/>
  <c r="F57" i="1"/>
  <c r="G57" i="1"/>
  <c r="D57" i="1"/>
  <c r="D34" i="1"/>
  <c r="E34" i="1"/>
  <c r="F34" i="1"/>
  <c r="C34" i="1"/>
  <c r="F33" i="1"/>
  <c r="E33" i="1"/>
  <c r="D33" i="1"/>
  <c r="C33" i="1"/>
</calcChain>
</file>

<file path=xl/sharedStrings.xml><?xml version="1.0" encoding="utf-8"?>
<sst xmlns="http://schemas.openxmlformats.org/spreadsheetml/2006/main" count="87" uniqueCount="65">
  <si>
    <t>Actividades/Módulos</t>
  </si>
  <si>
    <t>Levantamiento de requerimientos</t>
  </si>
  <si>
    <t>Definíción de modelo de desarrollo a implementar</t>
  </si>
  <si>
    <t>Diseño de solución</t>
  </si>
  <si>
    <t>Diseño de base de datos</t>
  </si>
  <si>
    <t>total de esfuerzo</t>
  </si>
  <si>
    <t>Simple</t>
  </si>
  <si>
    <t>Muy Fácil</t>
  </si>
  <si>
    <t>Fácil</t>
  </si>
  <si>
    <t>Normal</t>
  </si>
  <si>
    <t>Difícil</t>
  </si>
  <si>
    <t>Muy Difícil</t>
  </si>
  <si>
    <t>Hrs.</t>
  </si>
  <si>
    <t>Nivel de esfuerzo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</si>
  <si>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</si>
  <si>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</si>
  <si>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</si>
  <si>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</si>
  <si>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</si>
  <si>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</si>
  <si>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</si>
  <si>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</si>
  <si>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Tiempo/Recursos</t>
  </si>
  <si>
    <t>Días</t>
  </si>
  <si>
    <t>Semanas</t>
  </si>
  <si>
    <t>Meses</t>
  </si>
  <si>
    <t>Desarrolladores</t>
  </si>
  <si>
    <t>Gastos Extras</t>
  </si>
  <si>
    <t>Total</t>
  </si>
  <si>
    <t>Ganancias</t>
  </si>
  <si>
    <t>Costos Fijos</t>
  </si>
  <si>
    <t>Concepto de Recursos</t>
  </si>
  <si>
    <t>%</t>
  </si>
  <si>
    <t>Desglose de Proyecto</t>
  </si>
  <si>
    <t>Horas</t>
  </si>
  <si>
    <t>simple</t>
  </si>
  <si>
    <t>Facil</t>
  </si>
  <si>
    <t>Muy Dificíl</t>
  </si>
  <si>
    <t>Nivel de Dificultad</t>
  </si>
  <si>
    <t>Contruccio del modelo entidad relacion</t>
  </si>
  <si>
    <t>Creacion M1:ingreso de productos a almacen</t>
  </si>
  <si>
    <t>Validacion de M1</t>
  </si>
  <si>
    <t>Elaboracion de prubas integrales</t>
  </si>
  <si>
    <t>Implementacion del ambiente de pruebas</t>
  </si>
  <si>
    <t>implemetacion del ambiente de producción</t>
  </si>
  <si>
    <t>Mantenimiento del sistema</t>
  </si>
  <si>
    <t>1 recurso</t>
  </si>
  <si>
    <t>2 recursos</t>
  </si>
  <si>
    <t>3 recursos</t>
  </si>
  <si>
    <t>4 recursos</t>
  </si>
  <si>
    <t>se labora 8 hrs al dia</t>
  </si>
  <si>
    <t>Total de esfuerzo</t>
  </si>
  <si>
    <t>horas</t>
  </si>
  <si>
    <t>dias</t>
  </si>
  <si>
    <t>semanas</t>
  </si>
  <si>
    <t>meses</t>
  </si>
  <si>
    <t>se solicita  finalizar el proyecto en 2 meses</t>
  </si>
  <si>
    <t>costo por hora</t>
  </si>
  <si>
    <t>Recursos</t>
  </si>
  <si>
    <t xml:space="preserve">Costo de proyecto </t>
  </si>
  <si>
    <t>costos por dia</t>
  </si>
  <si>
    <t>Totales x hora</t>
  </si>
  <si>
    <t>totales x dia</t>
  </si>
  <si>
    <t>cocluimos que para termiar el proyecto en 2 meses requeridos por el cliente se necesitan 2 desarrolladores para el proyecto.</t>
  </si>
  <si>
    <t>el costo de dos desarrolladores seria de $46,200 y se tiene un presupuesto de $160,000.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</si>
</sst>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b/>
      <sz val="11"/>
      <color rgb="FF9C57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</cellStyleXfs>
  <cellXfs count="52">
    <xf numFmtId="0" fontId="0" fillId="0" borderId="0" xfId="0"/>
    <xf numFmtId="0" fontId="0" fillId="0" borderId="0" xfId="0" applyProtection="1">
      <protection locked="0"/>
    </xf>
    <xf numFmtId="0" fontId="0" fillId="0" borderId="17" xfId="0" applyBorder="1" applyProtection="1">
      <protection locked="0"/>
    </xf>
    <xf numFmtId="0" fontId="6" fillId="4" borderId="12" xfId="3" applyNumberFormat="1" applyFont="1" applyBorder="1" applyProtection="1"/>
    <xf numFmtId="0" fontId="6" fillId="4" borderId="13" xfId="3" applyNumberFormat="1" applyFont="1" applyBorder="1" applyProtection="1"/>
    <xf numFmtId="0" fontId="6" fillId="4" borderId="14" xfId="3" applyNumberFormat="1" applyFont="1" applyBorder="1" applyProtection="1"/>
    <xf numFmtId="0" fontId="6" fillId="4" borderId="15" xfId="3" applyNumberFormat="1" applyFont="1" applyBorder="1" applyProtection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6" fillId="4" borderId="11" xfId="3" applyNumberFormat="1" applyFont="1" applyBorder="1" applyAlignment="1" applyProtection="1">
      <alignment horizontal="center"/>
    </xf>
    <xf numFmtId="0" fontId="6" fillId="4" borderId="16" xfId="3" applyNumberFormat="1" applyFont="1" applyBorder="1" applyAlignment="1" applyProtection="1">
      <alignment horizontal="center"/>
    </xf>
    <xf numFmtId="0" fontId="5" fillId="2" borderId="18" xfId="1" applyNumberFormat="1" applyFont="1" applyBorder="1" applyAlignment="1" applyProtection="1">
      <alignment horizontal="center"/>
    </xf>
    <xf numFmtId="0" fontId="5" fillId="2" borderId="19" xfId="1" applyNumberFormat="1" applyFont="1" applyBorder="1" applyAlignment="1" applyProtection="1">
      <alignment horizontal="center"/>
    </xf>
    <xf numFmtId="0" fontId="0" fillId="0" borderId="7" xfId="0" applyBorder="1"/>
    <xf numFmtId="0" fontId="0" fillId="0" borderId="6" xfId="0" applyBorder="1"/>
    <xf numFmtId="0" fontId="1" fillId="5" borderId="9" xfId="4" applyNumberFormat="1" applyBorder="1" applyProtection="1"/>
    <xf numFmtId="0" fontId="1" fillId="5" borderId="3" xfId="4" applyNumberFormat="1" applyBorder="1" applyProtection="1"/>
    <xf numFmtId="0" fontId="1" fillId="5" borderId="8" xfId="4" applyNumberFormat="1" applyBorder="1" applyProtection="1"/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5" fillId="2" borderId="27" xfId="1" applyFont="1" applyBorder="1" applyAlignment="1" applyProtection="1">
      <alignment horizontal="center"/>
      <protection locked="0"/>
    </xf>
    <xf numFmtId="0" fontId="5" fillId="2" borderId="26" xfId="1" applyFont="1" applyBorder="1" applyAlignment="1" applyProtection="1">
      <alignment horizontal="center"/>
      <protection locked="0"/>
    </xf>
    <xf numFmtId="0" fontId="0" fillId="6" borderId="23" xfId="0" applyFill="1" applyBorder="1" applyProtection="1">
      <protection locked="0"/>
    </xf>
    <xf numFmtId="9" fontId="0" fillId="0" borderId="20" xfId="0" applyNumberFormat="1" applyBorder="1" applyProtection="1">
      <protection locked="0"/>
    </xf>
    <xf numFmtId="0" fontId="7" fillId="3" borderId="20" xfId="2" applyFont="1" applyBorder="1" applyAlignment="1" applyProtection="1">
      <alignment horizontal="center"/>
      <protection locked="0"/>
    </xf>
    <xf numFmtId="0" fontId="7" fillId="3" borderId="20" xfId="2" applyFont="1" applyBorder="1" applyProtection="1">
      <protection locked="0"/>
    </xf>
    <xf numFmtId="0" fontId="7" fillId="3" borderId="21" xfId="2" applyFont="1" applyBorder="1" applyAlignment="1" applyProtection="1">
      <protection locked="0"/>
    </xf>
    <xf numFmtId="0" fontId="7" fillId="3" borderId="22" xfId="2" applyFont="1" applyBorder="1" applyProtection="1">
      <protection locked="0"/>
    </xf>
    <xf numFmtId="0" fontId="0" fillId="6" borderId="17" xfId="0" applyFill="1" applyBorder="1" applyAlignment="1" applyProtection="1">
      <alignment horizontal="center"/>
      <protection locked="0"/>
    </xf>
    <xf numFmtId="0" fontId="0" fillId="6" borderId="23" xfId="0" applyFill="1" applyBorder="1" applyAlignment="1" applyProtection="1">
      <alignment horizontal="center"/>
      <protection locked="0"/>
    </xf>
    <xf numFmtId="0" fontId="7" fillId="3" borderId="20" xfId="2" applyFont="1" applyBorder="1" applyAlignment="1" applyProtection="1">
      <alignment horizontal="center"/>
      <protection locked="0"/>
    </xf>
    <xf numFmtId="0" fontId="5" fillId="2" borderId="22" xfId="1" applyFont="1" applyBorder="1" applyAlignment="1" applyProtection="1">
      <alignment horizontal="center"/>
      <protection locked="0"/>
    </xf>
    <xf numFmtId="0" fontId="5" fillId="2" borderId="27" xfId="1" applyFont="1" applyBorder="1" applyAlignment="1" applyProtection="1">
      <alignment horizontal="center"/>
      <protection locked="0"/>
    </xf>
    <xf numFmtId="0" fontId="5" fillId="2" borderId="21" xfId="1" applyFont="1" applyBorder="1" applyAlignment="1" applyProtection="1">
      <alignment horizontal="center"/>
      <protection locked="0"/>
    </xf>
    <xf numFmtId="0" fontId="0" fillId="0" borderId="28" xfId="0" applyBorder="1" applyProtection="1">
      <protection locked="0"/>
    </xf>
    <xf numFmtId="0" fontId="0" fillId="7" borderId="29" xfId="0" applyFill="1" applyBorder="1" applyAlignment="1" applyProtection="1">
      <alignment horizontal="center"/>
      <protection locked="0"/>
    </xf>
    <xf numFmtId="0" fontId="0" fillId="7" borderId="30" xfId="0" applyFill="1" applyBorder="1" applyAlignment="1" applyProtection="1">
      <alignment horizontal="center"/>
      <protection locked="0"/>
    </xf>
    <xf numFmtId="0" fontId="0" fillId="7" borderId="31" xfId="0" applyFill="1" applyBorder="1" applyAlignment="1" applyProtection="1">
      <alignment horizontal="center"/>
      <protection locked="0"/>
    </xf>
    <xf numFmtId="0" fontId="0" fillId="7" borderId="28" xfId="0" applyFill="1" applyBorder="1" applyProtection="1">
      <protection locked="0"/>
    </xf>
    <xf numFmtId="0" fontId="0" fillId="8" borderId="29" xfId="0" applyFill="1" applyBorder="1" applyAlignment="1" applyProtection="1">
      <alignment horizontal="center"/>
      <protection locked="0"/>
    </xf>
    <xf numFmtId="0" fontId="0" fillId="8" borderId="30" xfId="0" applyFill="1" applyBorder="1" applyAlignment="1" applyProtection="1">
      <alignment horizontal="center"/>
      <protection locked="0"/>
    </xf>
    <xf numFmtId="0" fontId="0" fillId="8" borderId="31" xfId="0" applyFill="1" applyBorder="1" applyAlignment="1" applyProtection="1">
      <alignment horizontal="center"/>
      <protection locked="0"/>
    </xf>
    <xf numFmtId="0" fontId="0" fillId="8" borderId="28" xfId="0" applyFill="1" applyBorder="1" applyProtection="1">
      <protection locked="0"/>
    </xf>
    <xf numFmtId="0" fontId="0" fillId="8" borderId="0" xfId="0" applyFill="1" applyProtection="1">
      <protection locked="0"/>
    </xf>
    <xf numFmtId="164" fontId="0" fillId="6" borderId="24" xfId="0" applyNumberFormat="1" applyFill="1" applyBorder="1" applyProtection="1">
      <protection locked="0"/>
    </xf>
    <xf numFmtId="164" fontId="0" fillId="6" borderId="25" xfId="0" applyNumberFormat="1" applyFill="1" applyBorder="1" applyProtection="1">
      <protection locked="0"/>
    </xf>
    <xf numFmtId="164" fontId="0" fillId="0" borderId="20" xfId="0" applyNumberFormat="1" applyBorder="1" applyProtection="1">
      <protection locked="0"/>
    </xf>
    <xf numFmtId="164" fontId="0" fillId="0" borderId="22" xfId="0" applyNumberFormat="1" applyBorder="1" applyProtection="1">
      <protection locked="0"/>
    </xf>
    <xf numFmtId="0" fontId="0" fillId="0" borderId="0" xfId="0" applyBorder="1" applyProtection="1">
      <protection locked="0"/>
    </xf>
  </cellXfs>
  <cellStyles count="5">
    <cellStyle name="60% - Énfasis4" xfId="4" builtinId="44"/>
    <cellStyle name="Bueno" xfId="1" builtinId="26"/>
    <cellStyle name="Entrada" xfId="3" builtinId="20"/>
    <cellStyle name="Neutral" xfId="2" builtinId="28"/>
    <cellStyle name="Normal" xfId="0" builtinId="0"/>
  </cellStyles>
  <dxfs count="33">
    <dxf>
      <font>
        <color rgb="FF9C5700"/>
      </font>
      <fill>
        <patternFill>
          <bgColor rgb="FFFFEB9C"/>
        </patternFill>
      </fill>
    </dxf>
    <dxf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numFmt numFmtId="13" formatCode="0%"/>
      <alignment horizontal="general" vertical="bottom" textRotation="0" wrapText="0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alignment horizontal="general" vertical="bottom" textRotation="0" wrapText="0" indent="0" justifyLastLine="0" shrinkToFit="0" readingOrder="0"/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outline="0">
        <top style="medium">
          <color theme="1"/>
        </top>
      </border>
    </dxf>
    <dxf>
      <border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protection locked="0" hidden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border diagonalUp="0" diagonalDown="0">
        <left style="medium">
          <color theme="1"/>
        </left>
        <right/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diagonalUp="0" diagonalDown="0">
        <left/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  <protection locked="0" hidden="0"/>
    </dxf>
    <dxf>
      <border outline="0">
        <top style="medium">
          <color theme="1"/>
        </top>
      </border>
    </dxf>
    <dxf>
      <border outline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</border>
    </dxf>
    <dxf>
      <protection locked="0" hidden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Aptos Narrow"/>
        <family val="2"/>
        <scheme val="minor"/>
      </font>
      <alignment horizontal="center" vertical="bottom" textRotation="0" wrapText="0" indent="0" justifyLastLine="0" shrinkToFit="0" readingOrder="0"/>
      <protection locked="0" hidden="0"/>
    </dxf>
    <dxf>
      <numFmt numFmtId="0" formatCode="General"/>
      <border diagonalUp="0" diagonalDown="0">
        <left style="medium">
          <color auto="1"/>
        </left>
        <right/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numFmt numFmtId="0" formatCode="General"/>
      <border diagonalUp="0" diagonalDown="0">
        <left/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  <protection locked="1" hidden="0"/>
    </dxf>
    <dxf>
      <border outline="0">
        <left style="medium">
          <color auto="1"/>
        </left>
        <right style="medium">
          <color auto="1"/>
        </right>
        <bottom style="medium">
          <color auto="1"/>
        </bottom>
      </border>
    </dxf>
    <dxf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FE8A95-2D01-473C-9510-54E8B9C7452B}" name="Tabla1" displayName="Tabla1" ref="B4:I18" totalsRowShown="0" headerRowDxfId="32" dataDxfId="31" tableBorderDxfId="30" headerRowCellStyle="Entrada">
  <autoFilter ref="B4:I18" xr:uid="{39FE8A95-2D01-473C-9510-54E8B9C7452B}"/>
  <tableColumns count="8">
    <tableColumn id="1" xr3:uid="{8B2579A4-FE31-4A30-AB9C-13A00A03D4A0}" name="Columna1" dataDxfId="29"/>
    <tableColumn id="2" xr3:uid="{2DF1A815-8BE8-419E-8E02-919E2F3E04DB}" name="Columna2" dataDxfId="28"/>
    <tableColumn id="3" xr3:uid="{C8FC6C42-20C3-41D0-A97A-42F5F18B45BC}" name="Columna3" dataDxfId="27"/>
    <tableColumn id="4" xr3:uid="{49EE20CA-A089-4911-B408-9F7E4D931FFC}" name="Columna4" dataDxfId="26"/>
    <tableColumn id="5" xr3:uid="{30A22B8D-59C5-4DC1-AE1D-BEF59978E06D}" name="Columna5" dataDxfId="25"/>
    <tableColumn id="6" xr3:uid="{513C09AD-CC94-414F-9DF2-728E0109DB9C}" name="Columna6" dataDxfId="24"/>
    <tableColumn id="7" xr3:uid="{14942F82-6282-4D4A-8BD8-94A3C5596A54}" name="Columna7" dataDxfId="23"/>
    <tableColumn id="8" xr3:uid="{8313E6F6-C78C-44AA-BB7A-C2D7D5AE3F79}" name="Columna8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8AF36-21A8-405A-8FF4-48C15D991A63}" name="Tabla2" displayName="Tabla2" ref="B41:F48" totalsRowShown="0" headerRowDxfId="21" dataDxfId="19" headerRowBorderDxfId="20" tableBorderDxfId="18" totalsRowBorderDxfId="17" headerRowCellStyle="Bueno">
  <autoFilter ref="B41:F48" xr:uid="{A4E8AF36-21A8-405A-8FF4-48C15D991A63}"/>
  <tableColumns count="5">
    <tableColumn id="1" xr3:uid="{2BA71ACA-EEE3-4BAF-88B2-D0C738E6C32E}" name="Columna1" dataDxfId="16"/>
    <tableColumn id="2" xr3:uid="{B28B05F2-8A47-44B2-BC8D-8341728A5FFD}" name="Columna2" dataDxfId="15"/>
    <tableColumn id="3" xr3:uid="{179202A1-E6AA-4EA1-86FA-DB6157C674AB}" name="Columna3" dataDxfId="14"/>
    <tableColumn id="4" xr3:uid="{7696C5FE-D28E-4FA9-B70B-8351C9B55F41}" name="Columna4" dataDxfId="13"/>
    <tableColumn id="5" xr3:uid="{1E6C3820-AB33-4EDA-AA21-98AC151A7267}" name="Columna5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B8A284-D0A7-422E-8483-11FB5D3010F1}" name="Tabla3" displayName="Tabla3" ref="B50:G57" totalsRowShown="0" headerRowDxfId="11" dataDxfId="9" headerRowBorderDxfId="10" tableBorderDxfId="8" totalsRowBorderDxfId="7" headerRowCellStyle="Bueno">
  <autoFilter ref="B50:G57" xr:uid="{F1B8A284-D0A7-422E-8483-11FB5D3010F1}"/>
  <tableColumns count="6">
    <tableColumn id="1" xr3:uid="{06DDABF0-6DE1-49D4-98A7-3B5DFFBDF520}" name="Columna1" dataDxfId="6"/>
    <tableColumn id="2" xr3:uid="{617A5389-F6C0-4E8B-9445-E8E6BC62FFE1}" name="Columna2" dataDxfId="5"/>
    <tableColumn id="3" xr3:uid="{FF27290A-8E1C-4150-AA77-102ACB6C5633}" name="Columna3" dataDxfId="4"/>
    <tableColumn id="4" xr3:uid="{8D87E7C9-E64C-4761-AC46-709DAADC3D38}" name="Columna4" dataDxfId="3"/>
    <tableColumn id="5" xr3:uid="{BA05CDCD-1125-4C1D-916B-C8698E78614B}" name="Columna5" dataDxfId="2"/>
    <tableColumn id="6" xr3:uid="{F94BB3E5-9F29-4397-A9A7-932310B6745C}" name="Columna6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4BD7F-DBB6-4364-899B-32A5F3A38737}">
  <dimension ref="B3:I59"/>
  <sheetViews>
    <sheetView tabSelected="1" zoomScaleNormal="100" workbookViewId="0">
      <selection activeCell="G27" sqref="G27"/>
    </sheetView>
  </sheetViews>
  <sheetFormatPr baseColWidth="10" defaultRowHeight="15" x14ac:dyDescent="0.25"/>
  <cols>
    <col min="1" max="1" width="11.42578125" style="1"/>
    <col min="2" max="2" width="45.5703125" style="1" customWidth="1"/>
    <col min="3" max="3" width="17.28515625" style="1" customWidth="1"/>
    <col min="4" max="4" width="17.140625" style="1" customWidth="1"/>
    <col min="5" max="5" width="18.5703125" style="1" customWidth="1"/>
    <col min="6" max="6" width="17.85546875" style="1" customWidth="1"/>
    <col min="7" max="9" width="12.28515625" style="1" customWidth="1"/>
    <col min="10" max="16384" width="11.42578125" style="1"/>
  </cols>
  <sheetData>
    <row r="3" spans="2:9" ht="15.75" thickBot="1" x14ac:dyDescent="0.3"/>
    <row r="4" spans="2:9" ht="15.75" customHeight="1" thickBot="1" x14ac:dyDescent="0.3">
      <c r="B4" s="13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2" t="s">
        <v>20</v>
      </c>
      <c r="I4" s="13" t="s">
        <v>21</v>
      </c>
    </row>
    <row r="5" spans="2:9" ht="15.75" customHeight="1" thickBot="1" x14ac:dyDescent="0.3">
      <c r="B5" s="13" t="s">
        <v>0</v>
      </c>
      <c r="C5" s="11" t="s">
        <v>13</v>
      </c>
      <c r="D5" s="11"/>
      <c r="E5" s="11"/>
      <c r="F5" s="11"/>
      <c r="G5" s="11"/>
      <c r="H5" s="12"/>
      <c r="I5" s="13" t="s">
        <v>12</v>
      </c>
    </row>
    <row r="6" spans="2:9" ht="15.75" thickBot="1" x14ac:dyDescent="0.3">
      <c r="B6" s="14"/>
      <c r="C6" s="3" t="s">
        <v>6</v>
      </c>
      <c r="D6" s="4" t="s">
        <v>7</v>
      </c>
      <c r="E6" s="5" t="s">
        <v>8</v>
      </c>
      <c r="F6" s="5" t="s">
        <v>9</v>
      </c>
      <c r="G6" s="5" t="s">
        <v>10</v>
      </c>
      <c r="H6" s="6" t="s">
        <v>11</v>
      </c>
      <c r="I6" s="14"/>
    </row>
    <row r="7" spans="2:9" ht="15.75" thickBot="1" x14ac:dyDescent="0.3">
      <c r="B7" s="15" t="s">
        <v>1</v>
      </c>
      <c r="C7" s="8"/>
      <c r="D7" s="8"/>
      <c r="E7" s="8"/>
      <c r="F7" s="8"/>
      <c r="G7" s="8">
        <v>1</v>
      </c>
      <c r="H7" s="8"/>
      <c r="I7" s="9">
        <f>G22</f>
        <v>32</v>
      </c>
    </row>
    <row r="8" spans="2:9" ht="15.75" thickBot="1" x14ac:dyDescent="0.3">
      <c r="B8" s="16" t="s">
        <v>2</v>
      </c>
      <c r="C8" s="10"/>
      <c r="D8" s="7"/>
      <c r="E8" s="7"/>
      <c r="F8" s="7">
        <v>1</v>
      </c>
      <c r="G8" s="7"/>
      <c r="H8" s="7"/>
      <c r="I8" s="9">
        <f>F22</f>
        <v>24</v>
      </c>
    </row>
    <row r="9" spans="2:9" ht="15.75" thickBot="1" x14ac:dyDescent="0.3">
      <c r="B9" s="15" t="s">
        <v>3</v>
      </c>
      <c r="C9" s="7"/>
      <c r="D9" s="7"/>
      <c r="E9" s="7"/>
      <c r="F9" s="7">
        <v>1</v>
      </c>
      <c r="G9" s="7"/>
      <c r="H9" s="7"/>
      <c r="I9" s="9">
        <f>F22</f>
        <v>24</v>
      </c>
    </row>
    <row r="10" spans="2:9" ht="15.75" thickBot="1" x14ac:dyDescent="0.3">
      <c r="B10" s="15" t="s">
        <v>4</v>
      </c>
      <c r="C10" s="7"/>
      <c r="D10" s="7"/>
      <c r="E10" s="7"/>
      <c r="F10" s="7"/>
      <c r="G10" s="7">
        <v>1</v>
      </c>
      <c r="H10" s="7"/>
      <c r="I10" s="9">
        <f>G22</f>
        <v>32</v>
      </c>
    </row>
    <row r="11" spans="2:9" ht="15.75" thickBot="1" x14ac:dyDescent="0.3">
      <c r="B11" s="15" t="s">
        <v>39</v>
      </c>
      <c r="C11" s="7"/>
      <c r="D11" s="7"/>
      <c r="E11" s="7">
        <v>1</v>
      </c>
      <c r="F11" s="7"/>
      <c r="G11" s="7"/>
      <c r="H11" s="7"/>
      <c r="I11" s="9">
        <f>E22</f>
        <v>16</v>
      </c>
    </row>
    <row r="12" spans="2:9" ht="15.75" thickBot="1" x14ac:dyDescent="0.3">
      <c r="B12" s="15" t="s">
        <v>40</v>
      </c>
      <c r="C12" s="7"/>
      <c r="D12" s="7"/>
      <c r="E12" s="7"/>
      <c r="F12" s="7">
        <v>1</v>
      </c>
      <c r="G12" s="7"/>
      <c r="H12" s="7"/>
      <c r="I12" s="9">
        <f>F22</f>
        <v>24</v>
      </c>
    </row>
    <row r="13" spans="2:9" ht="15.75" thickBot="1" x14ac:dyDescent="0.3">
      <c r="B13" s="15" t="s">
        <v>41</v>
      </c>
      <c r="C13" s="7"/>
      <c r="D13" s="7"/>
      <c r="E13" s="7"/>
      <c r="F13" s="7"/>
      <c r="G13" s="7">
        <v>1</v>
      </c>
      <c r="H13" s="7"/>
      <c r="I13" s="9">
        <f>G22</f>
        <v>32</v>
      </c>
    </row>
    <row r="14" spans="2:9" ht="15.75" thickBot="1" x14ac:dyDescent="0.3">
      <c r="B14" s="15" t="s">
        <v>42</v>
      </c>
      <c r="C14" s="7"/>
      <c r="D14" s="7"/>
      <c r="E14" s="7"/>
      <c r="F14" s="7">
        <v>1</v>
      </c>
      <c r="G14" s="7"/>
      <c r="H14" s="7"/>
      <c r="I14" s="9">
        <f>F22</f>
        <v>24</v>
      </c>
    </row>
    <row r="15" spans="2:9" ht="15.75" thickBot="1" x14ac:dyDescent="0.3">
      <c r="B15" s="15" t="s">
        <v>43</v>
      </c>
      <c r="C15" s="7"/>
      <c r="D15" s="7"/>
      <c r="E15" s="7">
        <v>1</v>
      </c>
      <c r="F15" s="7"/>
      <c r="G15" s="7"/>
      <c r="H15" s="7"/>
      <c r="I15" s="9">
        <f>E22</f>
        <v>16</v>
      </c>
    </row>
    <row r="16" spans="2:9" ht="15.75" thickBot="1" x14ac:dyDescent="0.3">
      <c r="B16" s="15" t="s">
        <v>44</v>
      </c>
      <c r="C16" s="7"/>
      <c r="D16" s="7"/>
      <c r="E16" s="7"/>
      <c r="F16" s="7">
        <v>1</v>
      </c>
      <c r="G16" s="7"/>
      <c r="H16" s="7"/>
      <c r="I16" s="9">
        <f>F22</f>
        <v>24</v>
      </c>
    </row>
    <row r="17" spans="2:9" ht="15.75" thickBot="1" x14ac:dyDescent="0.3">
      <c r="B17" s="15" t="s">
        <v>45</v>
      </c>
      <c r="C17" s="7"/>
      <c r="D17" s="7"/>
      <c r="E17" s="7">
        <v>1</v>
      </c>
      <c r="F17" s="7"/>
      <c r="G17" s="7"/>
      <c r="H17" s="7"/>
      <c r="I17" s="9">
        <f>E22</f>
        <v>16</v>
      </c>
    </row>
    <row r="18" spans="2:9" ht="15.75" thickBot="1" x14ac:dyDescent="0.3">
      <c r="B18" s="17" t="s">
        <v>5</v>
      </c>
      <c r="C18" s="18"/>
      <c r="D18" s="18"/>
      <c r="E18" s="18"/>
      <c r="F18" s="18"/>
      <c r="G18" s="18"/>
      <c r="H18" s="18"/>
      <c r="I18" s="19">
        <f>SUM(I7:I17)</f>
        <v>264</v>
      </c>
    </row>
    <row r="19" spans="2:9" ht="15.75" thickBot="1" x14ac:dyDescent="0.3">
      <c r="B19" s="2"/>
    </row>
    <row r="20" spans="2:9" ht="15.75" thickBot="1" x14ac:dyDescent="0.3">
      <c r="B20" s="34" t="s">
        <v>38</v>
      </c>
      <c r="C20" s="35"/>
      <c r="D20" s="35"/>
      <c r="E20" s="35"/>
      <c r="F20" s="35"/>
      <c r="G20" s="35"/>
      <c r="H20" s="36"/>
    </row>
    <row r="21" spans="2:9" ht="15.75" thickBot="1" x14ac:dyDescent="0.3">
      <c r="B21" s="33" t="s">
        <v>34</v>
      </c>
      <c r="C21" s="20" t="s">
        <v>35</v>
      </c>
      <c r="D21" s="20" t="s">
        <v>7</v>
      </c>
      <c r="E21" s="20" t="s">
        <v>36</v>
      </c>
      <c r="F21" s="20" t="s">
        <v>9</v>
      </c>
      <c r="G21" s="20" t="s">
        <v>10</v>
      </c>
      <c r="H21" s="20" t="s">
        <v>37</v>
      </c>
    </row>
    <row r="22" spans="2:9" ht="15.75" thickBot="1" x14ac:dyDescent="0.3">
      <c r="B22" s="33"/>
      <c r="C22" s="20">
        <v>4</v>
      </c>
      <c r="D22" s="20">
        <v>8</v>
      </c>
      <c r="E22" s="20">
        <v>16</v>
      </c>
      <c r="F22" s="20">
        <v>24</v>
      </c>
      <c r="G22" s="20">
        <v>32</v>
      </c>
      <c r="H22" s="20">
        <v>40</v>
      </c>
    </row>
    <row r="24" spans="2:9" x14ac:dyDescent="0.25">
      <c r="B24" s="38" t="s">
        <v>51</v>
      </c>
      <c r="C24" s="39"/>
      <c r="D24" s="39"/>
      <c r="E24" s="40"/>
    </row>
    <row r="25" spans="2:9" x14ac:dyDescent="0.25">
      <c r="B25" s="41" t="s">
        <v>52</v>
      </c>
      <c r="C25" s="41" t="s">
        <v>53</v>
      </c>
      <c r="D25" s="41" t="s">
        <v>54</v>
      </c>
      <c r="E25" s="41" t="s">
        <v>55</v>
      </c>
    </row>
    <row r="26" spans="2:9" x14ac:dyDescent="0.25">
      <c r="B26" s="37">
        <f>I18</f>
        <v>264</v>
      </c>
      <c r="C26" s="37">
        <f>B26/8</f>
        <v>33</v>
      </c>
      <c r="D26" s="37">
        <f>C26/4</f>
        <v>8.25</v>
      </c>
      <c r="E26" s="37">
        <f>C26/12</f>
        <v>2.75</v>
      </c>
    </row>
    <row r="27" spans="2:9" x14ac:dyDescent="0.25">
      <c r="B27" s="1" t="s">
        <v>50</v>
      </c>
    </row>
    <row r="28" spans="2:9" x14ac:dyDescent="0.25">
      <c r="B28" s="1" t="s">
        <v>56</v>
      </c>
    </row>
    <row r="30" spans="2:9" x14ac:dyDescent="0.25">
      <c r="B30" s="42" t="s">
        <v>58</v>
      </c>
      <c r="C30" s="43"/>
      <c r="D30" s="43"/>
      <c r="E30" s="43"/>
      <c r="F30" s="44"/>
    </row>
    <row r="31" spans="2:9" x14ac:dyDescent="0.25">
      <c r="B31" s="45" t="s">
        <v>52</v>
      </c>
      <c r="C31" s="46" t="s">
        <v>46</v>
      </c>
      <c r="D31" s="45" t="s">
        <v>47</v>
      </c>
      <c r="E31" s="45" t="s">
        <v>48</v>
      </c>
      <c r="F31" s="45" t="s">
        <v>49</v>
      </c>
    </row>
    <row r="32" spans="2:9" x14ac:dyDescent="0.25">
      <c r="B32" s="37" t="s">
        <v>53</v>
      </c>
      <c r="C32" s="37">
        <f>C26</f>
        <v>33</v>
      </c>
      <c r="D32" s="37">
        <f>C26/2</f>
        <v>16.5</v>
      </c>
      <c r="E32" s="37">
        <f>C26/3</f>
        <v>11</v>
      </c>
      <c r="F32" s="37">
        <f>C26/4</f>
        <v>8.25</v>
      </c>
    </row>
    <row r="33" spans="2:6" x14ac:dyDescent="0.25">
      <c r="B33" s="37" t="s">
        <v>54</v>
      </c>
      <c r="C33" s="37">
        <f>D26</f>
        <v>8.25</v>
      </c>
      <c r="D33" s="37">
        <f>D26/2</f>
        <v>4.125</v>
      </c>
      <c r="E33" s="37">
        <f>D26/3</f>
        <v>2.75</v>
      </c>
      <c r="F33" s="37">
        <f>D26/4</f>
        <v>2.0625</v>
      </c>
    </row>
    <row r="34" spans="2:6" x14ac:dyDescent="0.25">
      <c r="B34" s="37" t="s">
        <v>55</v>
      </c>
      <c r="C34" s="37">
        <f>E26</f>
        <v>2.75</v>
      </c>
      <c r="D34" s="37">
        <f>E26/2</f>
        <v>1.375</v>
      </c>
      <c r="E34" s="37">
        <f>E26/3</f>
        <v>0.91666666666666663</v>
      </c>
      <c r="F34" s="37">
        <f>E26/4</f>
        <v>0.6875</v>
      </c>
    </row>
    <row r="35" spans="2:6" x14ac:dyDescent="0.25">
      <c r="B35" s="51"/>
      <c r="C35" s="51"/>
      <c r="D35" s="51"/>
      <c r="E35" s="51"/>
      <c r="F35" s="51"/>
    </row>
    <row r="36" spans="2:6" x14ac:dyDescent="0.25">
      <c r="B36" s="51" t="s">
        <v>63</v>
      </c>
      <c r="C36" s="51"/>
      <c r="D36" s="51"/>
      <c r="E36" s="51"/>
      <c r="F36" s="51"/>
    </row>
    <row r="38" spans="2:6" x14ac:dyDescent="0.25">
      <c r="B38" s="41" t="s">
        <v>57</v>
      </c>
      <c r="C38" s="41">
        <v>350</v>
      </c>
    </row>
    <row r="39" spans="2:6" x14ac:dyDescent="0.25">
      <c r="B39" s="41" t="s">
        <v>60</v>
      </c>
      <c r="C39" s="41">
        <f>(C38*8)</f>
        <v>2800</v>
      </c>
    </row>
    <row r="41" spans="2:6" ht="15.75" thickBot="1" x14ac:dyDescent="0.3">
      <c r="B41" s="24" t="s">
        <v>14</v>
      </c>
      <c r="C41" s="24" t="s">
        <v>15</v>
      </c>
      <c r="D41" s="24" t="s">
        <v>16</v>
      </c>
      <c r="E41" s="24" t="s">
        <v>17</v>
      </c>
      <c r="F41" s="24" t="s">
        <v>18</v>
      </c>
    </row>
    <row r="42" spans="2:6" ht="15.75" thickBot="1" x14ac:dyDescent="0.3">
      <c r="B42" s="23" t="s">
        <v>59</v>
      </c>
      <c r="C42" s="23"/>
      <c r="D42" s="23"/>
      <c r="E42" s="23"/>
      <c r="F42" s="23"/>
    </row>
    <row r="43" spans="2:6" ht="15.75" thickBot="1" x14ac:dyDescent="0.3">
      <c r="B43" s="21" t="s">
        <v>22</v>
      </c>
      <c r="C43" s="20" t="s">
        <v>46</v>
      </c>
      <c r="D43" s="20" t="s">
        <v>47</v>
      </c>
      <c r="E43" s="20" t="s">
        <v>48</v>
      </c>
      <c r="F43" s="22" t="s">
        <v>49</v>
      </c>
    </row>
    <row r="44" spans="2:6" ht="15.75" thickBot="1" x14ac:dyDescent="0.3">
      <c r="B44" s="21" t="s">
        <v>23</v>
      </c>
      <c r="C44" s="20">
        <v>33</v>
      </c>
      <c r="D44" s="20">
        <v>16.5</v>
      </c>
      <c r="E44" s="20">
        <v>11</v>
      </c>
      <c r="F44" s="22">
        <v>8.25</v>
      </c>
    </row>
    <row r="45" spans="2:6" ht="15.75" thickBot="1" x14ac:dyDescent="0.3">
      <c r="B45" s="21" t="s">
        <v>24</v>
      </c>
      <c r="C45" s="20">
        <v>8.25</v>
      </c>
      <c r="D45" s="20">
        <v>4.125</v>
      </c>
      <c r="E45" s="20">
        <v>2.75</v>
      </c>
      <c r="F45" s="22">
        <v>2.0625</v>
      </c>
    </row>
    <row r="46" spans="2:6" ht="15.75" thickBot="1" x14ac:dyDescent="0.3">
      <c r="B46" s="21" t="s">
        <v>25</v>
      </c>
      <c r="C46" s="20">
        <v>2.75</v>
      </c>
      <c r="D46" s="20">
        <v>1.375</v>
      </c>
      <c r="E46" s="20">
        <v>0.91666666666666663</v>
      </c>
      <c r="F46" s="22">
        <v>0.6875</v>
      </c>
    </row>
    <row r="47" spans="2:6" ht="15.75" thickBot="1" x14ac:dyDescent="0.3">
      <c r="B47" s="25" t="s">
        <v>61</v>
      </c>
      <c r="C47" s="47">
        <f>$C38*C44</f>
        <v>11550</v>
      </c>
      <c r="D47" s="47">
        <f t="shared" ref="D47:F47" si="0">$C38*D44</f>
        <v>5775</v>
      </c>
      <c r="E47" s="47">
        <f t="shared" si="0"/>
        <v>3850</v>
      </c>
      <c r="F47" s="47">
        <f t="shared" si="0"/>
        <v>2887.5</v>
      </c>
    </row>
    <row r="48" spans="2:6" x14ac:dyDescent="0.25">
      <c r="B48" s="25" t="s">
        <v>62</v>
      </c>
      <c r="C48" s="47">
        <f>$C39*C44</f>
        <v>92400</v>
      </c>
      <c r="D48" s="47">
        <f t="shared" ref="D48:F48" si="1">$C39*D44</f>
        <v>46200</v>
      </c>
      <c r="E48" s="47">
        <f t="shared" si="1"/>
        <v>30800</v>
      </c>
      <c r="F48" s="47">
        <f t="shared" si="1"/>
        <v>23100</v>
      </c>
    </row>
    <row r="50" spans="2:7" ht="15.75" thickBot="1" x14ac:dyDescent="0.3">
      <c r="B50" s="24" t="s">
        <v>14</v>
      </c>
      <c r="C50" s="24" t="s">
        <v>15</v>
      </c>
      <c r="D50" s="24" t="s">
        <v>16</v>
      </c>
      <c r="E50" s="24" t="s">
        <v>17</v>
      </c>
      <c r="F50" s="24" t="s">
        <v>18</v>
      </c>
      <c r="G50" s="24" t="s">
        <v>19</v>
      </c>
    </row>
    <row r="51" spans="2:7" ht="15.75" thickBot="1" x14ac:dyDescent="0.3">
      <c r="B51" s="23" t="s">
        <v>33</v>
      </c>
      <c r="C51" s="23"/>
      <c r="D51" s="23"/>
      <c r="E51" s="23"/>
      <c r="F51" s="23"/>
      <c r="G51" s="23"/>
    </row>
    <row r="52" spans="2:7" ht="15.75" thickBot="1" x14ac:dyDescent="0.3">
      <c r="B52" s="29" t="s">
        <v>31</v>
      </c>
      <c r="C52" s="27" t="s">
        <v>32</v>
      </c>
      <c r="D52" s="28">
        <v>1</v>
      </c>
      <c r="E52" s="28">
        <v>2</v>
      </c>
      <c r="F52" s="28">
        <v>3</v>
      </c>
      <c r="G52" s="30">
        <v>4</v>
      </c>
    </row>
    <row r="53" spans="2:7" ht="15.75" thickBot="1" x14ac:dyDescent="0.3">
      <c r="B53" s="21" t="s">
        <v>26</v>
      </c>
      <c r="C53" s="26">
        <v>0.5</v>
      </c>
      <c r="D53" s="49">
        <f>C48*50/100</f>
        <v>46200</v>
      </c>
      <c r="E53" s="49">
        <f>D48*50/100</f>
        <v>23100</v>
      </c>
      <c r="F53" s="49">
        <f>E48*50/100</f>
        <v>15400</v>
      </c>
      <c r="G53" s="50">
        <f>F48*50/100</f>
        <v>11550</v>
      </c>
    </row>
    <row r="54" spans="2:7" ht="15.75" thickBot="1" x14ac:dyDescent="0.3">
      <c r="B54" s="21" t="s">
        <v>30</v>
      </c>
      <c r="C54" s="26">
        <v>0.3</v>
      </c>
      <c r="D54" s="49">
        <f>C48*30/100</f>
        <v>27720</v>
      </c>
      <c r="E54" s="49">
        <f>D48*30/100</f>
        <v>13860</v>
      </c>
      <c r="F54" s="49">
        <f>E48*30/100</f>
        <v>9240</v>
      </c>
      <c r="G54" s="50">
        <f>F48*30/100</f>
        <v>6930</v>
      </c>
    </row>
    <row r="55" spans="2:7" ht="15.75" thickBot="1" x14ac:dyDescent="0.3">
      <c r="B55" s="21" t="s">
        <v>27</v>
      </c>
      <c r="C55" s="26">
        <v>0.1</v>
      </c>
      <c r="D55" s="49">
        <f>C48*10/100</f>
        <v>9240</v>
      </c>
      <c r="E55" s="49">
        <f>D48*10/100</f>
        <v>4620</v>
      </c>
      <c r="F55" s="49">
        <f>E48*10/100</f>
        <v>3080</v>
      </c>
      <c r="G55" s="50">
        <f>F48*10/100</f>
        <v>2310</v>
      </c>
    </row>
    <row r="56" spans="2:7" ht="15.75" thickBot="1" x14ac:dyDescent="0.3">
      <c r="B56" s="21" t="s">
        <v>29</v>
      </c>
      <c r="C56" s="26">
        <v>0.1</v>
      </c>
      <c r="D56" s="49">
        <f>C48*10/100</f>
        <v>9240</v>
      </c>
      <c r="E56" s="49">
        <f>D48*10/100</f>
        <v>4620</v>
      </c>
      <c r="F56" s="49">
        <f>E48*10/100</f>
        <v>3080</v>
      </c>
      <c r="G56" s="50">
        <f>F48*10/100</f>
        <v>2310</v>
      </c>
    </row>
    <row r="57" spans="2:7" x14ac:dyDescent="0.25">
      <c r="B57" s="31" t="s">
        <v>28</v>
      </c>
      <c r="C57" s="32"/>
      <c r="D57" s="47">
        <f>SUM(D53:D56)</f>
        <v>92400</v>
      </c>
      <c r="E57" s="47">
        <f>SUM(E53:E56)</f>
        <v>46200</v>
      </c>
      <c r="F57" s="47">
        <f>SUM(F53:F56)</f>
        <v>30800</v>
      </c>
      <c r="G57" s="48">
        <f>SUM(G53:G56)</f>
        <v>23100</v>
      </c>
    </row>
    <row r="59" spans="2:7" x14ac:dyDescent="0.25">
      <c r="B59" s="1" t="s">
        <v>64</v>
      </c>
    </row>
  </sheetData>
  <sheetProtection selectLockedCells="1"/>
  <mergeCells count="4">
    <mergeCell ref="B21:B22"/>
    <mergeCell ref="B20:H20"/>
    <mergeCell ref="B24:E24"/>
    <mergeCell ref="B30:F30"/>
  </mergeCells>
  <conditionalFormatting sqref="B52:B57">
    <cfRule type="containsText" dxfId="0" priority="1" operator="containsText" text="Concepto de Recursos">
      <formula>NOT(ISERROR(SEARCH("Concepto de Recursos",B52)))</formula>
    </cfRule>
  </conditionalFormatting>
  <pageMargins left="0.7" right="0.7" top="0.75" bottom="0.75" header="0.3" footer="0.3"/>
  <pageSetup orientation="portrait" horizontalDpi="360" verticalDpi="36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ALEXIEL ALEXIEL</dc:creator>
  <cp:lastModifiedBy>ALEXIEL ALEXIEL</cp:lastModifiedBy>
  <dcterms:created xsi:type="dcterms:W3CDTF">2026-10-04T15:58:59Z</dcterms:created>
  <dcterms:modified xsi:type="dcterms:W3CDTF">2026-10-10T22:37:21Z</dcterms:modified>
</cp:coreProperties>
</file>